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adm\Desktop\"/>
    </mc:Choice>
  </mc:AlternateContent>
  <xr:revisionPtr revIDLastSave="3" documentId="13_ncr:1_{89F24674-43C0-473F-94CD-98C40EE21426}" xr6:coauthVersionLast="47" xr6:coauthVersionMax="47" xr10:uidLastSave="{A1945155-5E9E-43D8-A9AE-D561C4B6DF65}"/>
  <bookViews>
    <workbookView xWindow="480" yWindow="60" windowWidth="36480" windowHeight="11910" activeTab="1" xr2:uid="{00000000-000D-0000-FFFF-FFFF00000000}"/>
  </bookViews>
  <sheets>
    <sheet name="tabela1" sheetId="1" r:id="rId1"/>
    <sheet name="tabela2" sheetId="2" r:id="rId2"/>
    <sheet name="Plan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" l="1"/>
  <c r="F11" i="2"/>
  <c r="F9" i="2"/>
  <c r="F44" i="2"/>
  <c r="F45" i="2"/>
  <c r="F46" i="2"/>
  <c r="F47" i="2"/>
  <c r="F43" i="2"/>
  <c r="F39" i="2"/>
  <c r="F40" i="2"/>
  <c r="F41" i="2"/>
  <c r="F42" i="2"/>
  <c r="F38" i="2"/>
  <c r="F34" i="2"/>
  <c r="F35" i="2"/>
  <c r="F36" i="2"/>
  <c r="F37" i="2"/>
  <c r="F33" i="2"/>
  <c r="F32" i="2"/>
  <c r="F29" i="2"/>
  <c r="F30" i="2"/>
  <c r="F31" i="2"/>
  <c r="F28" i="2"/>
  <c r="F24" i="2"/>
  <c r="F25" i="2"/>
  <c r="F26" i="2"/>
  <c r="F27" i="2"/>
  <c r="F23" i="2"/>
  <c r="F19" i="2"/>
  <c r="F20" i="2"/>
  <c r="F21" i="2"/>
  <c r="F22" i="2"/>
  <c r="F18" i="2"/>
  <c r="F14" i="2"/>
  <c r="F15" i="2"/>
  <c r="F16" i="2"/>
  <c r="F17" i="2"/>
  <c r="F13" i="2"/>
  <c r="F12" i="2"/>
  <c r="F8" i="2"/>
  <c r="F4" i="2"/>
  <c r="F5" i="2"/>
  <c r="F6" i="2"/>
  <c r="F7" i="2"/>
  <c r="F3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</calcChain>
</file>

<file path=xl/sharedStrings.xml><?xml version="1.0" encoding="utf-8"?>
<sst xmlns="http://schemas.openxmlformats.org/spreadsheetml/2006/main" count="13" uniqueCount="12">
  <si>
    <t>ID</t>
  </si>
  <si>
    <t>h</t>
  </si>
  <si>
    <t>t</t>
  </si>
  <si>
    <t>L</t>
  </si>
  <si>
    <t>n</t>
  </si>
  <si>
    <t>Ltot</t>
  </si>
  <si>
    <t>C</t>
  </si>
  <si>
    <t>m</t>
  </si>
  <si>
    <t>carga</t>
  </si>
  <si>
    <t>alongamento</t>
  </si>
  <si>
    <t>rigidez</t>
  </si>
  <si>
    <t>dutilidade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</si>
</sst>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2" fontId="0" fillId="0" borderId="2" xfId="0" applyNumberFormat="1" applyBorder="1"/>
    <xf numFmtId="2" fontId="0" fillId="0" borderId="0" xfId="0" applyNumberFormat="1"/>
    <xf numFmtId="164" fontId="0" fillId="0" borderId="0" xfId="0" applyNumberFormat="1"/>
    <xf numFmtId="164" fontId="0" fillId="0" borderId="2" xfId="0" applyNumberFormat="1" applyBorder="1"/>
    <xf numFmtId="165" fontId="0" fillId="0" borderId="0" xfId="0" applyNumberFormat="1"/>
    <xf numFmtId="165" fontId="0" fillId="0" borderId="2" xfId="0" applyNumberFormat="1" applyBorder="1"/>
    <xf numFmtId="2" fontId="0" fillId="0" borderId="0" xfId="1" applyNumberFormat="1" applyFont="1" applyFill="1" applyBorder="1"/>
    <xf numFmtId="2" fontId="0" fillId="0" borderId="2" xfId="1" applyNumberFormat="1" applyFont="1" applyFill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1"/>
  <sheetViews>
    <sheetView workbookViewId="0">
      <selection activeCell="C6" sqref="C6"/>
    </sheetView>
  </sheetViews>
  <sheetFormatPr defaultRowHeight="15"/>
  <sheetData>
    <row r="2" spans="2:9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9">
      <c r="B3" s="1">
        <v>107</v>
      </c>
      <c r="C3" s="1">
        <v>2.95</v>
      </c>
      <c r="D3" s="1">
        <v>9.94</v>
      </c>
      <c r="E3" s="1">
        <v>14.92</v>
      </c>
      <c r="F3" s="1">
        <v>3</v>
      </c>
      <c r="G3" s="1">
        <v>38.58</v>
      </c>
      <c r="H3" s="1">
        <v>122.93</v>
      </c>
      <c r="I3" s="1">
        <v>13.8</v>
      </c>
    </row>
    <row r="4" spans="2:9">
      <c r="B4" s="1">
        <v>101</v>
      </c>
      <c r="C4" s="1">
        <v>2.98</v>
      </c>
      <c r="D4" s="1">
        <v>5.94</v>
      </c>
      <c r="E4" s="1">
        <v>14.9</v>
      </c>
      <c r="F4" s="1">
        <v>3</v>
      </c>
      <c r="G4" s="1">
        <v>39.22</v>
      </c>
      <c r="H4" s="1">
        <v>122.98</v>
      </c>
      <c r="I4" s="1">
        <v>8.5</v>
      </c>
    </row>
    <row r="5" spans="2:9">
      <c r="B5" s="1">
        <v>111</v>
      </c>
      <c r="C5" s="1">
        <v>1.96</v>
      </c>
      <c r="D5" s="1">
        <v>8</v>
      </c>
      <c r="E5" s="1">
        <v>31.8</v>
      </c>
      <c r="F5" s="1">
        <v>3</v>
      </c>
      <c r="G5" s="1">
        <v>47.79</v>
      </c>
      <c r="H5" s="1">
        <v>82.32</v>
      </c>
      <c r="I5" s="1">
        <v>11.8</v>
      </c>
    </row>
    <row r="6" spans="2:9">
      <c r="B6" s="1">
        <v>82</v>
      </c>
      <c r="C6" s="1">
        <v>2.0099999999999998</v>
      </c>
      <c r="D6" s="1">
        <v>8.02</v>
      </c>
      <c r="E6" s="1">
        <v>31.85</v>
      </c>
      <c r="F6" s="1">
        <v>4</v>
      </c>
      <c r="G6" s="1">
        <v>47.8</v>
      </c>
      <c r="H6" s="1">
        <v>110.06</v>
      </c>
      <c r="I6" s="1">
        <v>8.9</v>
      </c>
    </row>
    <row r="7" spans="2:9">
      <c r="B7" s="1">
        <v>94</v>
      </c>
      <c r="C7" s="1">
        <v>1.99</v>
      </c>
      <c r="D7" s="1">
        <v>4</v>
      </c>
      <c r="E7" s="1">
        <v>39.950000000000003</v>
      </c>
      <c r="F7" s="1">
        <v>4</v>
      </c>
      <c r="G7" s="1">
        <v>55.72</v>
      </c>
      <c r="H7" s="1">
        <v>109.36</v>
      </c>
      <c r="I7" s="1">
        <v>14.4</v>
      </c>
    </row>
    <row r="8" spans="2:9">
      <c r="B8" s="1">
        <v>113</v>
      </c>
      <c r="C8" s="1">
        <v>2.93</v>
      </c>
      <c r="D8" s="1">
        <v>8.0500000000000007</v>
      </c>
      <c r="E8" s="1">
        <v>31.95</v>
      </c>
      <c r="F8" s="1">
        <v>4</v>
      </c>
      <c r="G8" s="1">
        <v>56.18</v>
      </c>
      <c r="H8" s="1">
        <v>164.6</v>
      </c>
      <c r="I8" s="1">
        <v>19.899999999999999</v>
      </c>
    </row>
    <row r="9" spans="2:9">
      <c r="B9" s="1">
        <v>105</v>
      </c>
      <c r="C9" s="1">
        <v>1.48</v>
      </c>
      <c r="D9" s="1">
        <v>8.01</v>
      </c>
      <c r="E9" s="1">
        <v>22.95</v>
      </c>
      <c r="F9" s="1">
        <v>5</v>
      </c>
      <c r="G9" s="1">
        <v>34.76</v>
      </c>
      <c r="H9" s="1">
        <v>104.42</v>
      </c>
      <c r="I9" s="1">
        <v>10</v>
      </c>
    </row>
    <row r="10" spans="2:9">
      <c r="B10" s="1">
        <v>112</v>
      </c>
      <c r="C10" s="1">
        <v>1.44</v>
      </c>
      <c r="D10" s="1">
        <v>4.01</v>
      </c>
      <c r="E10" s="1">
        <v>22.85</v>
      </c>
      <c r="F10" s="1">
        <v>5</v>
      </c>
      <c r="G10" s="1">
        <v>34.799999999999997</v>
      </c>
      <c r="H10" s="1">
        <v>102.98</v>
      </c>
      <c r="I10" s="1">
        <v>5.2</v>
      </c>
    </row>
    <row r="11" spans="2:9">
      <c r="B11" s="1">
        <v>122</v>
      </c>
      <c r="C11" s="1">
        <v>2.98</v>
      </c>
      <c r="D11" s="1">
        <v>5.95</v>
      </c>
      <c r="E11" s="1">
        <v>40</v>
      </c>
      <c r="F11" s="1">
        <v>5</v>
      </c>
      <c r="G11" s="1">
        <v>63.95</v>
      </c>
      <c r="H11" s="1">
        <v>205.8</v>
      </c>
      <c r="I11" s="1">
        <v>20.9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47"/>
  <sheetViews>
    <sheetView tabSelected="1" workbookViewId="0">
      <selection activeCell="I11" sqref="I11"/>
    </sheetView>
  </sheetViews>
  <sheetFormatPr defaultRowHeight="15"/>
  <cols>
    <col min="2" max="2" width="10.7109375" customWidth="1"/>
    <col min="3" max="3" width="13.5703125" customWidth="1"/>
    <col min="4" max="4" width="16.42578125" customWidth="1"/>
    <col min="5" max="5" width="14" customWidth="1"/>
    <col min="6" max="6" width="16.140625" customWidth="1"/>
  </cols>
  <sheetData>
    <row r="2" spans="2:6">
      <c r="B2" s="1" t="s">
        <v>0</v>
      </c>
      <c r="C2" s="1" t="s">
        <v>8</v>
      </c>
      <c r="D2" s="1" t="s">
        <v>9</v>
      </c>
      <c r="E2" s="1" t="s">
        <v>10</v>
      </c>
      <c r="F2" s="1" t="s">
        <v>11</v>
      </c>
    </row>
    <row r="3" spans="2:6">
      <c r="B3">
        <v>107</v>
      </c>
      <c r="C3" s="5">
        <v>0.2</v>
      </c>
      <c r="D3" s="4">
        <v>1.05</v>
      </c>
      <c r="E3" s="7">
        <f t="shared" ref="E3:E47" si="0">C3/D3</f>
        <v>0.19047619047619047</v>
      </c>
      <c r="F3" s="9">
        <f>D3/122.93</f>
        <v>8.541446351582202E-3</v>
      </c>
    </row>
    <row r="4" spans="2:6">
      <c r="B4">
        <v>107</v>
      </c>
      <c r="C4" s="5">
        <v>0.6</v>
      </c>
      <c r="D4" s="4">
        <v>3.12</v>
      </c>
      <c r="E4" s="7">
        <f t="shared" si="0"/>
        <v>0.19230769230769229</v>
      </c>
      <c r="F4" s="9">
        <f t="shared" ref="F4:F7" si="1">D4/122.93</f>
        <v>2.5380297730415682E-2</v>
      </c>
    </row>
    <row r="5" spans="2:6">
      <c r="B5">
        <v>107</v>
      </c>
      <c r="C5" s="5">
        <v>0.8</v>
      </c>
      <c r="D5" s="4">
        <v>4.17</v>
      </c>
      <c r="E5" s="7">
        <f t="shared" si="0"/>
        <v>0.19184652278177458</v>
      </c>
      <c r="F5" s="9">
        <f t="shared" si="1"/>
        <v>3.3921744081997884E-2</v>
      </c>
    </row>
    <row r="6" spans="2:6">
      <c r="B6">
        <v>107</v>
      </c>
      <c r="C6" s="5">
        <v>1.5</v>
      </c>
      <c r="D6" s="4">
        <v>7.86</v>
      </c>
      <c r="E6" s="7">
        <f t="shared" si="0"/>
        <v>0.19083969465648853</v>
      </c>
      <c r="F6" s="9">
        <f t="shared" si="1"/>
        <v>6.3938826974701046E-2</v>
      </c>
    </row>
    <row r="7" spans="2:6">
      <c r="B7" s="2">
        <v>107</v>
      </c>
      <c r="C7" s="6">
        <v>4.8</v>
      </c>
      <c r="D7" s="3">
        <v>24.64</v>
      </c>
      <c r="E7" s="8">
        <f t="shared" si="0"/>
        <v>0.19480519480519479</v>
      </c>
      <c r="F7" s="10">
        <f t="shared" si="1"/>
        <v>0.20043927438379566</v>
      </c>
    </row>
    <row r="8" spans="2:6">
      <c r="B8">
        <v>101</v>
      </c>
      <c r="C8" s="5">
        <v>0.6</v>
      </c>
      <c r="D8" s="4">
        <v>5.28</v>
      </c>
      <c r="E8" s="7">
        <f t="shared" si="0"/>
        <v>0.11363636363636363</v>
      </c>
      <c r="F8" s="9">
        <f>D8/122.98</f>
        <v>4.2933810375670844E-2</v>
      </c>
    </row>
    <row r="9" spans="2:6">
      <c r="B9">
        <v>101</v>
      </c>
      <c r="C9" s="5">
        <v>0.8</v>
      </c>
      <c r="D9" s="4">
        <v>6.82</v>
      </c>
      <c r="E9" s="7">
        <f t="shared" si="0"/>
        <v>0.11730205278592376</v>
      </c>
      <c r="F9" s="9">
        <f>D9/122.98</f>
        <v>5.5456171735241505E-2</v>
      </c>
    </row>
    <row r="10" spans="2:6">
      <c r="B10">
        <v>101</v>
      </c>
      <c r="C10" s="5">
        <v>1</v>
      </c>
      <c r="D10" s="4">
        <v>8.67</v>
      </c>
      <c r="E10" s="7">
        <f t="shared" si="0"/>
        <v>0.11534025374855825</v>
      </c>
      <c r="F10" s="9">
        <f>D10/122.98</f>
        <v>7.0499268173686777E-2</v>
      </c>
    </row>
    <row r="11" spans="2:6">
      <c r="B11">
        <v>101</v>
      </c>
      <c r="C11" s="5">
        <v>1.5</v>
      </c>
      <c r="D11" s="4">
        <v>12.68</v>
      </c>
      <c r="E11" s="7">
        <f t="shared" si="0"/>
        <v>0.11829652996845426</v>
      </c>
      <c r="F11" s="9">
        <f>D11/122.98</f>
        <v>0.10310619612945193</v>
      </c>
    </row>
    <row r="12" spans="2:6">
      <c r="B12" s="2">
        <v>101</v>
      </c>
      <c r="C12" s="6">
        <v>3.125</v>
      </c>
      <c r="D12" s="3">
        <v>26.4</v>
      </c>
      <c r="E12" s="8">
        <f t="shared" si="0"/>
        <v>0.11837121212121213</v>
      </c>
      <c r="F12" s="10">
        <f t="shared" ref="F9:F12" si="2">D12/122.98</f>
        <v>0.21466905187835419</v>
      </c>
    </row>
    <row r="13" spans="2:6">
      <c r="B13">
        <v>111</v>
      </c>
      <c r="C13" s="5">
        <v>0.4</v>
      </c>
      <c r="D13" s="4">
        <v>14.07</v>
      </c>
      <c r="E13" s="7">
        <f t="shared" si="0"/>
        <v>2.8429282160625444E-2</v>
      </c>
      <c r="F13" s="9">
        <f>D13/82.32</f>
        <v>0.1709183673469388</v>
      </c>
    </row>
    <row r="14" spans="2:6">
      <c r="B14">
        <v>111</v>
      </c>
      <c r="C14" s="5">
        <v>0.6</v>
      </c>
      <c r="D14" s="4">
        <v>21.03</v>
      </c>
      <c r="E14" s="7">
        <f t="shared" si="0"/>
        <v>2.853067047075606E-2</v>
      </c>
      <c r="F14" s="9">
        <f t="shared" ref="F14:F17" si="3">D14/82.32</f>
        <v>0.25546647230320702</v>
      </c>
    </row>
    <row r="15" spans="2:6">
      <c r="B15">
        <v>111</v>
      </c>
      <c r="C15" s="5">
        <v>0.8</v>
      </c>
      <c r="D15" s="4">
        <v>28.03</v>
      </c>
      <c r="E15" s="7">
        <f t="shared" si="0"/>
        <v>2.8540849090260435E-2</v>
      </c>
      <c r="F15" s="9">
        <f t="shared" si="3"/>
        <v>0.34050048590864923</v>
      </c>
    </row>
    <row r="16" spans="2:6">
      <c r="B16">
        <v>111</v>
      </c>
      <c r="C16" s="5">
        <v>1</v>
      </c>
      <c r="D16" s="4">
        <v>34.97</v>
      </c>
      <c r="E16" s="7">
        <f t="shared" si="0"/>
        <v>2.8595939376608523E-2</v>
      </c>
      <c r="F16" s="9">
        <f t="shared" si="3"/>
        <v>0.42480563654033043</v>
      </c>
    </row>
    <row r="17" spans="2:6">
      <c r="B17" s="2">
        <v>111</v>
      </c>
      <c r="C17" s="6">
        <v>1.2450000000000001</v>
      </c>
      <c r="D17" s="3">
        <v>44</v>
      </c>
      <c r="E17" s="8">
        <f t="shared" si="0"/>
        <v>2.8295454545454547E-2</v>
      </c>
      <c r="F17" s="10">
        <f t="shared" si="3"/>
        <v>0.53449951409135088</v>
      </c>
    </row>
    <row r="18" spans="2:6">
      <c r="B18">
        <v>82</v>
      </c>
      <c r="C18" s="5">
        <v>0.4</v>
      </c>
      <c r="D18" s="4">
        <v>16.309999999999999</v>
      </c>
      <c r="E18" s="7">
        <f t="shared" si="0"/>
        <v>2.4524831391784185E-2</v>
      </c>
      <c r="F18" s="9">
        <f>D18/110.06</f>
        <v>0.14819189532982008</v>
      </c>
    </row>
    <row r="19" spans="2:6">
      <c r="B19">
        <v>82</v>
      </c>
      <c r="C19" s="5">
        <v>0.6</v>
      </c>
      <c r="D19" s="4">
        <v>25.25</v>
      </c>
      <c r="E19" s="7">
        <f t="shared" si="0"/>
        <v>2.3762376237623763E-2</v>
      </c>
      <c r="F19" s="9">
        <f t="shared" ref="F19:F22" si="4">D19/110.06</f>
        <v>0.22942031619116846</v>
      </c>
    </row>
    <row r="20" spans="2:6">
      <c r="B20">
        <v>82</v>
      </c>
      <c r="C20" s="5">
        <v>0.8</v>
      </c>
      <c r="D20" s="4">
        <v>34.450000000000003</v>
      </c>
      <c r="E20" s="7">
        <f t="shared" si="0"/>
        <v>2.3222060957910014E-2</v>
      </c>
      <c r="F20" s="9">
        <f t="shared" si="4"/>
        <v>0.3130110848628021</v>
      </c>
    </row>
    <row r="21" spans="2:6">
      <c r="B21">
        <v>82</v>
      </c>
      <c r="C21" s="5">
        <v>1</v>
      </c>
      <c r="D21" s="4">
        <v>43.14</v>
      </c>
      <c r="E21" s="7">
        <f t="shared" si="0"/>
        <v>2.3180343069077423E-2</v>
      </c>
      <c r="F21" s="9">
        <f t="shared" si="4"/>
        <v>0.39196801744502996</v>
      </c>
    </row>
    <row r="22" spans="2:6">
      <c r="B22" s="2">
        <v>82</v>
      </c>
      <c r="C22" s="6">
        <v>1.403</v>
      </c>
      <c r="D22" s="3">
        <v>62.15</v>
      </c>
      <c r="E22" s="8">
        <f t="shared" si="0"/>
        <v>2.2574416733708771E-2</v>
      </c>
      <c r="F22" s="10">
        <f t="shared" si="4"/>
        <v>0.56469198618935124</v>
      </c>
    </row>
    <row r="23" spans="2:6">
      <c r="B23">
        <v>94</v>
      </c>
      <c r="C23" s="5">
        <v>0.1</v>
      </c>
      <c r="D23" s="4">
        <v>12.06</v>
      </c>
      <c r="E23" s="7">
        <f t="shared" si="0"/>
        <v>8.291873963515755E-3</v>
      </c>
      <c r="F23" s="9">
        <f>D23/109.36</f>
        <v>0.11027798098024873</v>
      </c>
    </row>
    <row r="24" spans="2:6">
      <c r="B24">
        <v>94</v>
      </c>
      <c r="C24" s="5">
        <v>0.2</v>
      </c>
      <c r="D24" s="4">
        <v>27.87</v>
      </c>
      <c r="E24" s="7">
        <f t="shared" si="0"/>
        <v>7.1761750986724078E-3</v>
      </c>
      <c r="F24" s="9">
        <f t="shared" ref="F24:F27" si="5">D24/109.36</f>
        <v>0.25484637893196782</v>
      </c>
    </row>
    <row r="25" spans="2:6">
      <c r="B25">
        <v>94</v>
      </c>
      <c r="C25" s="5">
        <v>0.3</v>
      </c>
      <c r="D25" s="4">
        <v>42.38</v>
      </c>
      <c r="E25" s="7">
        <f t="shared" si="0"/>
        <v>7.0788107597923545E-3</v>
      </c>
      <c r="F25" s="9">
        <f t="shared" si="5"/>
        <v>0.38752743233357723</v>
      </c>
    </row>
    <row r="26" spans="2:6">
      <c r="B26">
        <v>94</v>
      </c>
      <c r="C26" s="5">
        <v>0.4</v>
      </c>
      <c r="D26" s="4">
        <v>55.8</v>
      </c>
      <c r="E26" s="7">
        <f t="shared" si="0"/>
        <v>7.168458781362008E-3</v>
      </c>
      <c r="F26" s="9">
        <f t="shared" si="5"/>
        <v>0.51024140453547917</v>
      </c>
    </row>
    <row r="27" spans="2:6">
      <c r="B27" s="2">
        <v>94</v>
      </c>
      <c r="C27" s="6">
        <v>0.60399999999999998</v>
      </c>
      <c r="D27" s="3">
        <v>89.1</v>
      </c>
      <c r="E27" s="8">
        <f t="shared" si="0"/>
        <v>6.7789001122334457E-3</v>
      </c>
      <c r="F27" s="10">
        <f t="shared" si="5"/>
        <v>0.81474030724213597</v>
      </c>
    </row>
    <row r="28" spans="2:6">
      <c r="B28">
        <v>113</v>
      </c>
      <c r="C28" s="5">
        <v>0.4</v>
      </c>
      <c r="D28" s="4">
        <v>10.1</v>
      </c>
      <c r="E28" s="7">
        <f t="shared" si="0"/>
        <v>3.9603960396039604E-2</v>
      </c>
      <c r="F28" s="9">
        <f>D28/164.6</f>
        <v>6.1360874848116649E-2</v>
      </c>
    </row>
    <row r="29" spans="2:6">
      <c r="B29">
        <v>113</v>
      </c>
      <c r="C29" s="5">
        <v>0.6</v>
      </c>
      <c r="D29" s="4">
        <v>15.47</v>
      </c>
      <c r="E29" s="7">
        <f t="shared" si="0"/>
        <v>3.8784744667097602E-2</v>
      </c>
      <c r="F29" s="9">
        <f t="shared" ref="F29:F31" si="6">D29/164.6</f>
        <v>9.3985419198055906E-2</v>
      </c>
    </row>
    <row r="30" spans="2:6">
      <c r="B30">
        <v>113</v>
      </c>
      <c r="C30" s="5">
        <v>0.8</v>
      </c>
      <c r="D30" s="4">
        <v>20.41</v>
      </c>
      <c r="E30" s="7">
        <f t="shared" si="0"/>
        <v>3.9196472317491425E-2</v>
      </c>
      <c r="F30" s="9">
        <f t="shared" si="6"/>
        <v>0.12399756986634265</v>
      </c>
    </row>
    <row r="31" spans="2:6">
      <c r="B31">
        <v>113</v>
      </c>
      <c r="C31" s="5">
        <v>1</v>
      </c>
      <c r="D31" s="4">
        <v>25.64</v>
      </c>
      <c r="E31" s="7">
        <f t="shared" si="0"/>
        <v>3.9001560062402497E-2</v>
      </c>
      <c r="F31" s="9">
        <f t="shared" si="6"/>
        <v>0.15577156743620901</v>
      </c>
    </row>
    <row r="32" spans="2:6">
      <c r="B32" s="2">
        <v>113</v>
      </c>
      <c r="C32" s="2">
        <v>2.1080000000000001</v>
      </c>
      <c r="D32" s="3">
        <v>55</v>
      </c>
      <c r="E32" s="8">
        <f t="shared" si="0"/>
        <v>3.8327272727272731E-2</v>
      </c>
      <c r="F32" s="10">
        <f>D32/164.6</f>
        <v>0.33414337788578374</v>
      </c>
    </row>
    <row r="33" spans="2:6">
      <c r="B33">
        <v>105</v>
      </c>
      <c r="C33" s="5">
        <v>0.2</v>
      </c>
      <c r="D33" s="4">
        <v>9.91</v>
      </c>
      <c r="E33" s="7">
        <f t="shared" si="0"/>
        <v>2.0181634712411706E-2</v>
      </c>
      <c r="F33" s="9">
        <f>D33/104.42</f>
        <v>9.4905190576517903E-2</v>
      </c>
    </row>
    <row r="34" spans="2:6">
      <c r="B34">
        <v>105</v>
      </c>
      <c r="C34" s="5">
        <v>0.4</v>
      </c>
      <c r="D34" s="4">
        <v>20.79</v>
      </c>
      <c r="E34" s="7">
        <f t="shared" si="0"/>
        <v>1.9240019240019241E-2</v>
      </c>
      <c r="F34" s="9">
        <f t="shared" ref="F34:F37" si="7">D34/104.42</f>
        <v>0.19909978931239225</v>
      </c>
    </row>
    <row r="35" spans="2:6">
      <c r="B35">
        <v>105</v>
      </c>
      <c r="C35" s="5">
        <v>0.6</v>
      </c>
      <c r="D35" s="4">
        <v>31.59</v>
      </c>
      <c r="E35" s="7">
        <f t="shared" si="0"/>
        <v>1.8993352326685659E-2</v>
      </c>
      <c r="F35" s="9">
        <f t="shared" si="7"/>
        <v>0.30252825129285577</v>
      </c>
    </row>
    <row r="36" spans="2:6">
      <c r="B36">
        <v>105</v>
      </c>
      <c r="C36" s="5">
        <v>0.8</v>
      </c>
      <c r="D36" s="4">
        <v>42.69</v>
      </c>
      <c r="E36" s="7">
        <f t="shared" si="0"/>
        <v>1.8739751698290001E-2</v>
      </c>
      <c r="F36" s="9">
        <f t="shared" si="7"/>
        <v>0.4088297261061099</v>
      </c>
    </row>
    <row r="37" spans="2:6">
      <c r="B37" s="2">
        <v>105</v>
      </c>
      <c r="C37" s="6">
        <v>1.1000000000000001</v>
      </c>
      <c r="D37" s="3">
        <v>61.05</v>
      </c>
      <c r="E37" s="8">
        <f t="shared" si="0"/>
        <v>1.8018018018018021E-2</v>
      </c>
      <c r="F37" s="10">
        <f t="shared" si="7"/>
        <v>0.58465811147289792</v>
      </c>
    </row>
    <row r="38" spans="2:6">
      <c r="B38">
        <v>112</v>
      </c>
      <c r="C38" s="5">
        <v>0.1</v>
      </c>
      <c r="D38" s="4">
        <v>9.1999999999999993</v>
      </c>
      <c r="E38" s="7">
        <f t="shared" si="0"/>
        <v>1.0869565217391306E-2</v>
      </c>
      <c r="F38" s="9">
        <f>D38/102.98</f>
        <v>8.9337735482617975E-2</v>
      </c>
    </row>
    <row r="39" spans="2:6">
      <c r="B39">
        <v>112</v>
      </c>
      <c r="C39" s="5">
        <v>0.2</v>
      </c>
      <c r="D39" s="4">
        <v>21.35</v>
      </c>
      <c r="E39" s="7">
        <f t="shared" si="0"/>
        <v>9.3676814988290398E-3</v>
      </c>
      <c r="F39" s="9">
        <f t="shared" ref="F39:F42" si="8">D39/102.98</f>
        <v>0.20732181006020586</v>
      </c>
    </row>
    <row r="40" spans="2:6">
      <c r="B40">
        <v>112</v>
      </c>
      <c r="C40" s="5">
        <v>0.3</v>
      </c>
      <c r="D40" s="4">
        <v>31.91</v>
      </c>
      <c r="E40" s="7">
        <f t="shared" si="0"/>
        <v>9.4014415543716701E-3</v>
      </c>
      <c r="F40" s="9">
        <f t="shared" si="8"/>
        <v>0.30986599339677606</v>
      </c>
    </row>
    <row r="41" spans="2:6">
      <c r="B41">
        <v>112</v>
      </c>
      <c r="C41" s="5">
        <v>0.4</v>
      </c>
      <c r="D41" s="4">
        <v>42.43</v>
      </c>
      <c r="E41" s="7">
        <f t="shared" si="0"/>
        <v>9.4272920103700211E-3</v>
      </c>
      <c r="F41" s="9">
        <f t="shared" si="8"/>
        <v>0.41202175179646533</v>
      </c>
    </row>
    <row r="42" spans="2:6">
      <c r="B42" s="2">
        <v>112</v>
      </c>
      <c r="C42" s="6">
        <v>0.54900000000000004</v>
      </c>
      <c r="D42" s="3">
        <v>61.71</v>
      </c>
      <c r="E42" s="8">
        <f t="shared" si="0"/>
        <v>8.896451142440448E-3</v>
      </c>
      <c r="F42" s="10">
        <f t="shared" si="8"/>
        <v>0.59924257137308212</v>
      </c>
    </row>
    <row r="43" spans="2:6">
      <c r="B43">
        <v>122</v>
      </c>
      <c r="C43" s="5">
        <v>0.4</v>
      </c>
      <c r="D43" s="4">
        <v>23.85</v>
      </c>
      <c r="E43" s="7">
        <f t="shared" si="0"/>
        <v>1.6771488469601678E-2</v>
      </c>
      <c r="F43" s="9">
        <f>D43/205.8</f>
        <v>0.11588921282798834</v>
      </c>
    </row>
    <row r="44" spans="2:6">
      <c r="B44">
        <v>122</v>
      </c>
      <c r="C44" s="5">
        <v>0.5</v>
      </c>
      <c r="D44" s="4">
        <v>29.37</v>
      </c>
      <c r="E44" s="7">
        <f t="shared" si="0"/>
        <v>1.7024174327545112E-2</v>
      </c>
      <c r="F44" s="9">
        <f t="shared" ref="F44:F47" si="9">D44/205.8</f>
        <v>0.14271137026239067</v>
      </c>
    </row>
    <row r="45" spans="2:6">
      <c r="B45">
        <v>122</v>
      </c>
      <c r="C45" s="5">
        <v>0.6</v>
      </c>
      <c r="D45" s="4">
        <v>35.9</v>
      </c>
      <c r="E45" s="7">
        <f t="shared" si="0"/>
        <v>1.6713091922005572E-2</v>
      </c>
      <c r="F45" s="9">
        <f t="shared" si="9"/>
        <v>0.17444120505344993</v>
      </c>
    </row>
    <row r="46" spans="2:6">
      <c r="B46">
        <v>122</v>
      </c>
      <c r="C46" s="5">
        <v>0.8</v>
      </c>
      <c r="D46" s="4">
        <v>47.41</v>
      </c>
      <c r="E46" s="7">
        <f t="shared" si="0"/>
        <v>1.6874077198903187E-2</v>
      </c>
      <c r="F46" s="9">
        <f t="shared" si="9"/>
        <v>0.23036929057337219</v>
      </c>
    </row>
    <row r="47" spans="2:6">
      <c r="B47">
        <v>122</v>
      </c>
      <c r="C47" s="5">
        <v>1.544</v>
      </c>
      <c r="D47" s="4">
        <v>92.95</v>
      </c>
      <c r="E47" s="7">
        <f t="shared" si="0"/>
        <v>1.6611081226465842E-2</v>
      </c>
      <c r="F47" s="9">
        <f t="shared" si="9"/>
        <v>0.45165208940719143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0ae0fe-6f0b-49da-9128-990f59ca65a5">
      <Terms xmlns="http://schemas.microsoft.com/office/infopath/2007/PartnerControls"/>
    </lcf76f155ced4ddcb4097134ff3c332f>
    <TaxCatchAll xmlns="760d711f-f92f-41e3-9d5b-67d53a25d3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0B115C0DA45D419FA16F48B948FD74" ma:contentTypeVersion="11" ma:contentTypeDescription="Crie um novo documento." ma:contentTypeScope="" ma:versionID="af9ba6ca8f140bfdf7c15519a9a5d30c">
  <xsd:schema xmlns:xsd="http://www.w3.org/2001/XMLSchema" xmlns:xs="http://www.w3.org/2001/XMLSchema" xmlns:p="http://schemas.microsoft.com/office/2006/metadata/properties" xmlns:ns2="070ae0fe-6f0b-49da-9128-990f59ca65a5" xmlns:ns3="760d711f-f92f-41e3-9d5b-67d53a25d3a5" targetNamespace="http://schemas.microsoft.com/office/2006/metadata/properties" ma:root="true" ma:fieldsID="58e065df6332e617ef24d015d4040799" ns2:_="" ns3:_="">
    <xsd:import namespace="070ae0fe-6f0b-49da-9128-990f59ca65a5"/>
    <xsd:import namespace="760d711f-f92f-41e3-9d5b-67d53a25d3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ae0fe-6f0b-49da-9128-990f59ca6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50b24568-bc51-4d24-b182-68fd093a1f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d711f-f92f-41e3-9d5b-67d53a25d3a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6fe9201-4f01-44ba-b189-349ed07767f2}" ma:internalName="TaxCatchAll" ma:showField="CatchAllData" ma:web="760d711f-f92f-41e3-9d5b-67d53a25d3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478795-734F-48B9-AFA8-9D43D2F0E1A1}"/>
</file>

<file path=customXml/itemProps2.xml><?xml version="1.0" encoding="utf-8"?>
<ds:datastoreItem xmlns:ds="http://schemas.openxmlformats.org/officeDocument/2006/customXml" ds:itemID="{C4147A65-74D4-44DE-BD1B-2B2C7156CC4D}"/>
</file>

<file path=customXml/itemProps3.xml><?xml version="1.0" encoding="utf-8"?>
<ds:datastoreItem xmlns:ds="http://schemas.openxmlformats.org/officeDocument/2006/customXml" ds:itemID="{9F555D4A-A9F6-4906-8DDA-D9A9F4F5C3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Hugo</dc:creator>
  <cp:keywords/>
  <dc:description/>
  <cp:lastModifiedBy>NATHALIA SANTOS FERREIRA</cp:lastModifiedBy>
  <cp:revision/>
  <dcterms:created xsi:type="dcterms:W3CDTF">2026-10-21T17:33:55Z</dcterms:created>
  <dcterms:modified xsi:type="dcterms:W3CDTF">2026-10-21T23:02:33Z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0x010100FC0B115C0DA45D419FA16F48B948FD74</vt:lpwstr>
  </property>
  <property fmtid="{D5CDD505-2E9C-101B-9397-08002B2CF9AE}" pid="3" name="MediaServiceImageTags">
    <vt:lpwstr/>
  </property>
</Properties>
</file>